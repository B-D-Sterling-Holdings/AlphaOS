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r Valuation" sheetId="1" r:id="rId5"/>
  </sheets>
  <definedNames/>
  <calcPr/>
</workbook>
</file>

<file path=xl/sharedStrings.xml><?xml version="1.0" encoding="utf-8"?>
<sst xmlns="http://schemas.openxmlformats.org/spreadsheetml/2006/main" count="36" uniqueCount="36">
  <si>
    <t>* All light blue cells are inputs to the DCF</t>
  </si>
  <si>
    <t>Ticker</t>
  </si>
  <si>
    <t>Share Price</t>
  </si>
  <si>
    <t>Target P/E Multiple</t>
  </si>
  <si>
    <t>EPS Growth %</t>
  </si>
  <si>
    <t>MA</t>
  </si>
  <si>
    <t>Revenue Growth (CAGR)</t>
  </si>
  <si>
    <t>Target Op. Margin</t>
  </si>
  <si>
    <t>Tax Rate</t>
  </si>
  <si>
    <t>Net Share Dilution</t>
  </si>
  <si>
    <t>Dividend Growth %</t>
  </si>
  <si>
    <t>Current Dividend</t>
  </si>
  <si>
    <t>Factors</t>
  </si>
  <si>
    <t>TTM</t>
  </si>
  <si>
    <t>Revenue (bil)</t>
  </si>
  <si>
    <t>Operating Expense</t>
  </si>
  <si>
    <t>Operating Income (bil)</t>
  </si>
  <si>
    <t>Operating Margin (%)</t>
  </si>
  <si>
    <t>Non operating Income (expense)</t>
  </si>
  <si>
    <t>Tax Expense</t>
  </si>
  <si>
    <t>Net Income (bil)</t>
  </si>
  <si>
    <t>Outstanding Shares (bil)</t>
  </si>
  <si>
    <t>Earnings per Share</t>
  </si>
  <si>
    <t>Share Price (assuming Tgt P/E Multiple)</t>
  </si>
  <si>
    <t>Extra Shares w/ Dividend Reinvested</t>
  </si>
  <si>
    <t>Total CAGR w/o Dividends</t>
  </si>
  <si>
    <t>Total CAGR</t>
  </si>
  <si>
    <t>Price Target:</t>
  </si>
  <si>
    <t>Target CAGR</t>
  </si>
  <si>
    <t>Multiple Return Profile:</t>
  </si>
  <si>
    <t>P/E Ratio</t>
  </si>
  <si>
    <t>5 year share price</t>
  </si>
  <si>
    <t>CAGR (incl. Div.)</t>
  </si>
  <si>
    <t>* The specific returns you look at are in purple, this will change depending on the company.</t>
  </si>
  <si>
    <t>Each company will trade for different mupltiples depending on the nature of the business and predictability of future EPS</t>
  </si>
  <si>
    <t>It is up to the user to determine the ideal multiple profile to match the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</si>
</sst>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0.0000"/>
  </numFmts>
  <fonts count="8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i/>
      <sz val="15.0"/>
      <color theme="1"/>
      <name val="Times"/>
    </font>
    <font>
      <b/>
      <sz val="15.0"/>
      <color rgb="FFFFFFFF"/>
      <name val="Times"/>
    </font>
    <font>
      <sz val="15.0"/>
      <color theme="1"/>
      <name val="Times"/>
    </font>
    <font>
      <sz val="15.0"/>
      <color rgb="FFFFFFFF"/>
      <name val="Times"/>
    </font>
    <font>
      <b/>
      <sz val="15.0"/>
      <color theme="1"/>
      <name val="Times"/>
    </font>
  </fonts>
  <fills count="7">
    <fill>
      <patternFill patternType="none"/>
    </fill>
    <fill>
      <patternFill patternType="lightGray"/>
    </fill>
    <fill>
      <patternFill patternType="solid">
        <fgColor rgb="FF500000"/>
        <bgColor rgb="FF500000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B4A7D6"/>
        <bgColor rgb="FFB4A7D6"/>
      </patternFill>
    </fill>
  </fills>
  <borders count="2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4" fillId="3" fontId="5" numFmtId="0" xfId="0" applyAlignment="1" applyBorder="1" applyFill="1" applyFont="1">
      <alignment horizontal="center" vertical="bottom"/>
    </xf>
    <xf borderId="4" fillId="3" fontId="5" numFmtId="164" xfId="0" applyAlignment="1" applyBorder="1" applyFont="1" applyNumberFormat="1">
      <alignment horizontal="center" vertical="bottom"/>
    </xf>
    <xf borderId="4" fillId="3" fontId="5" numFmtId="4" xfId="0" applyAlignment="1" applyBorder="1" applyFont="1" applyNumberFormat="1">
      <alignment horizontal="center" vertical="bottom"/>
    </xf>
    <xf borderId="4" fillId="4" fontId="5" numFmtId="10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4" fillId="3" fontId="5" numFmtId="10" xfId="0" applyAlignment="1" applyBorder="1" applyFont="1" applyNumberFormat="1">
      <alignment horizontal="center" vertical="bottom"/>
    </xf>
    <xf borderId="5" fillId="3" fontId="5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6" fillId="2" fontId="4" numFmtId="0" xfId="0" applyAlignment="1" applyBorder="1" applyFont="1">
      <alignment vertical="bottom"/>
    </xf>
    <xf borderId="2" fillId="2" fontId="6" numFmtId="0" xfId="0" applyAlignment="1" applyBorder="1" applyFont="1">
      <alignment horizontal="center" vertical="bottom"/>
    </xf>
    <xf borderId="3" fillId="2" fontId="6" numFmtId="0" xfId="0" applyAlignment="1" applyBorder="1" applyFont="1">
      <alignment horizontal="center" vertical="bottom"/>
    </xf>
    <xf borderId="7" fillId="4" fontId="7" numFmtId="0" xfId="0" applyAlignment="1" applyBorder="1" applyFont="1">
      <alignment vertical="bottom"/>
    </xf>
    <xf borderId="8" fillId="3" fontId="5" numFmtId="164" xfId="0" applyAlignment="1" applyBorder="1" applyFont="1" applyNumberFormat="1">
      <alignment horizontal="center" vertical="bottom"/>
    </xf>
    <xf borderId="8" fillId="4" fontId="5" numFmtId="164" xfId="0" applyAlignment="1" applyBorder="1" applyFont="1" applyNumberFormat="1">
      <alignment horizontal="center" vertical="bottom"/>
    </xf>
    <xf borderId="9" fillId="4" fontId="5" numFmtId="164" xfId="0" applyAlignment="1" applyBorder="1" applyFont="1" applyNumberFormat="1">
      <alignment horizontal="center" vertical="bottom"/>
    </xf>
    <xf borderId="7" fillId="4" fontId="1" numFmtId="0" xfId="0" applyAlignment="1" applyBorder="1" applyFont="1">
      <alignment vertical="bottom"/>
    </xf>
    <xf borderId="8" fillId="4" fontId="1" numFmtId="10" xfId="0" applyAlignment="1" applyBorder="1" applyFont="1" applyNumberFormat="1">
      <alignment vertical="bottom"/>
    </xf>
    <xf borderId="9" fillId="4" fontId="1" numFmtId="10" xfId="0" applyAlignment="1" applyBorder="1" applyFont="1" applyNumberFormat="1">
      <alignment vertical="bottom"/>
    </xf>
    <xf borderId="8" fillId="4" fontId="1" numFmtId="164" xfId="0" applyAlignment="1" applyBorder="1" applyFont="1" applyNumberFormat="1">
      <alignment vertical="bottom"/>
    </xf>
    <xf borderId="9" fillId="4" fontId="1" numFmtId="164" xfId="0" applyAlignment="1" applyBorder="1" applyFont="1" applyNumberFormat="1">
      <alignment vertical="bottom"/>
    </xf>
    <xf borderId="7" fillId="4" fontId="7" numFmtId="0" xfId="0" applyAlignment="1" applyBorder="1" applyFont="1">
      <alignment vertical="bottom"/>
    </xf>
    <xf borderId="8" fillId="4" fontId="5" numFmtId="10" xfId="0" applyAlignment="1" applyBorder="1" applyFont="1" applyNumberFormat="1">
      <alignment horizontal="center" vertical="bottom"/>
    </xf>
    <xf borderId="9" fillId="4" fontId="5" numFmtId="10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9" fillId="3" fontId="5" numFmtId="164" xfId="0" applyAlignment="1" applyBorder="1" applyFont="1" applyNumberFormat="1">
      <alignment horizontal="center" vertical="bottom"/>
    </xf>
    <xf borderId="10" fillId="4" fontId="7" numFmtId="0" xfId="0" applyAlignment="1" applyBorder="1" applyFont="1">
      <alignment vertical="bottom"/>
    </xf>
    <xf borderId="11" fillId="4" fontId="5" numFmtId="164" xfId="0" applyAlignment="1" applyBorder="1" applyFont="1" applyNumberFormat="1">
      <alignment horizontal="center" vertical="bottom"/>
    </xf>
    <xf borderId="10" fillId="4" fontId="7" numFmtId="0" xfId="0" applyAlignment="1" applyBorder="1" applyFont="1">
      <alignment vertical="bottom"/>
    </xf>
    <xf borderId="11" fillId="3" fontId="5" numFmtId="165" xfId="0" applyAlignment="1" applyBorder="1" applyFont="1" applyNumberFormat="1">
      <alignment horizontal="center" vertical="bottom"/>
    </xf>
    <xf borderId="11" fillId="4" fontId="5" numFmtId="165" xfId="0" applyAlignment="1" applyBorder="1" applyFont="1" applyNumberFormat="1">
      <alignment horizontal="center" vertical="bottom"/>
    </xf>
    <xf borderId="12" fillId="4" fontId="5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12" fillId="4" fontId="5" numFmtId="164" xfId="0" applyAlignment="1" applyBorder="1" applyFont="1" applyNumberFormat="1">
      <alignment horizontal="center" vertical="bottom"/>
    </xf>
    <xf borderId="13" fillId="4" fontId="7" numFmtId="0" xfId="0" applyAlignment="1" applyBorder="1" applyFont="1">
      <alignment vertical="bottom"/>
    </xf>
    <xf borderId="14" fillId="4" fontId="5" numFmtId="164" xfId="0" applyAlignment="1" applyBorder="1" applyFont="1" applyNumberFormat="1">
      <alignment horizontal="center" vertical="bottom"/>
    </xf>
    <xf borderId="15" fillId="4" fontId="5" numFmtId="164" xfId="0" applyAlignment="1" applyBorder="1" applyFont="1" applyNumberFormat="1">
      <alignment horizontal="center" vertical="bottom"/>
    </xf>
    <xf borderId="4" fillId="4" fontId="7" numFmtId="0" xfId="0" applyAlignment="1" applyBorder="1" applyFont="1">
      <alignment vertical="bottom"/>
    </xf>
    <xf borderId="5" fillId="4" fontId="5" numFmtId="165" xfId="0" applyAlignment="1" applyBorder="1" applyFont="1" applyNumberFormat="1">
      <alignment horizontal="center" vertical="bottom"/>
    </xf>
    <xf borderId="16" fillId="4" fontId="5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10" fillId="4" fontId="5" numFmtId="10" xfId="0" applyAlignment="1" applyBorder="1" applyFont="1" applyNumberFormat="1">
      <alignment horizontal="right" vertical="bottom"/>
    </xf>
    <xf borderId="17" fillId="2" fontId="4" numFmtId="0" xfId="0" applyAlignment="1" applyBorder="1" applyFont="1">
      <alignment vertical="bottom"/>
    </xf>
    <xf borderId="18" fillId="5" fontId="5" numFmtId="164" xfId="0" applyAlignment="1" applyBorder="1" applyFill="1" applyFont="1" applyNumberFormat="1">
      <alignment horizontal="right" vertical="bottom"/>
    </xf>
    <xf borderId="19" fillId="2" fontId="4" numFmtId="10" xfId="0" applyAlignment="1" applyBorder="1" applyFont="1" applyNumberFormat="1">
      <alignment vertical="bottom"/>
    </xf>
    <xf borderId="20" fillId="5" fontId="5" numFmtId="10" xfId="0" applyAlignment="1" applyBorder="1" applyFont="1" applyNumberFormat="1">
      <alignment horizontal="right" vertical="bottom"/>
    </xf>
    <xf borderId="0" fillId="0" fontId="7" numFmtId="10" xfId="0" applyAlignment="1" applyFont="1" applyNumberFormat="1">
      <alignment vertical="bottom"/>
    </xf>
    <xf borderId="1" fillId="2" fontId="4" numFmtId="10" xfId="0" applyAlignment="1" applyBorder="1" applyFont="1" applyNumberFormat="1">
      <alignment horizontal="center" vertical="bottom"/>
    </xf>
    <xf borderId="2" fillId="2" fontId="4" numFmtId="164" xfId="0" applyAlignment="1" applyBorder="1" applyFont="1" applyNumberFormat="1">
      <alignment horizontal="center" vertical="bottom"/>
    </xf>
    <xf borderId="3" fillId="2" fontId="4" numFmtId="10" xfId="0" applyAlignment="1" applyBorder="1" applyFont="1" applyNumberFormat="1">
      <alignment horizontal="center" vertical="bottom"/>
    </xf>
    <xf borderId="21" fillId="4" fontId="5" numFmtId="4" xfId="0" applyAlignment="1" applyBorder="1" applyFont="1" applyNumberFormat="1">
      <alignment horizontal="center" vertical="bottom"/>
    </xf>
    <xf borderId="21" fillId="6" fontId="5" numFmtId="4" xfId="0" applyAlignment="1" applyBorder="1" applyFill="1" applyFont="1" applyNumberFormat="1">
      <alignment horizontal="center" vertical="bottom"/>
    </xf>
    <xf borderId="8" fillId="6" fontId="5" numFmtId="164" xfId="0" applyAlignment="1" applyBorder="1" applyFont="1" applyNumberFormat="1">
      <alignment horizontal="center" vertical="bottom"/>
    </xf>
    <xf borderId="9" fillId="6" fontId="5" numFmtId="10" xfId="0" applyAlignment="1" applyBorder="1" applyFont="1" applyNumberFormat="1">
      <alignment horizontal="center" vertical="bottom"/>
    </xf>
    <xf borderId="0" fillId="0" fontId="1" numFmtId="9" xfId="0" applyAlignment="1" applyFont="1" applyNumberFormat="1">
      <alignment vertical="bottom"/>
    </xf>
    <xf borderId="22" fillId="4" fontId="5" numFmtId="4" xfId="0" applyAlignment="1" applyBorder="1" applyFont="1" applyNumberForma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16" fillId="4" fontId="5" numFmtId="10" xfId="0" applyAlignment="1" applyBorder="1" applyFont="1" applyNumberForma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44.63"/>
    <col customWidth="1" min="3" max="3" width="27.38"/>
    <col customWidth="1" min="4" max="4" width="28.25"/>
    <col customWidth="1" min="5" max="5" width="25.25"/>
    <col customWidth="1" min="6" max="6" width="28.5"/>
    <col customWidth="1" min="7" max="7" width="22.5"/>
    <col customWidth="1" min="8" max="8" width="23.0"/>
    <col customWidth="1" min="13" max="13" width="20.0"/>
    <col customWidth="1" min="14" max="14" width="24.0"/>
    <col customWidth="1" min="15" max="15" width="16.13"/>
    <col customWidth="1" min="16" max="16" width="1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2"/>
      <c r="U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</row>
    <row r="4">
      <c r="A4" s="1"/>
      <c r="B4" s="4" t="s">
        <v>1</v>
      </c>
      <c r="C4" s="5" t="s">
        <v>2</v>
      </c>
      <c r="D4" s="6" t="s">
        <v>3</v>
      </c>
      <c r="E4" s="1"/>
      <c r="F4" s="7" t="s">
        <v>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2"/>
      <c r="U4" s="2"/>
    </row>
    <row r="5">
      <c r="A5" s="1"/>
      <c r="B5" s="8" t="s">
        <v>5</v>
      </c>
      <c r="C5" s="9">
        <f>IFERROR(__xludf.DUMMYFUNCTION("GOOGLEFINANCE(B5, ""price"")"),494.41)</f>
        <v>494.41</v>
      </c>
      <c r="D5" s="10">
        <v>30.0</v>
      </c>
      <c r="E5" s="1"/>
      <c r="F5" s="11">
        <f>(H30/C30)^(1/5)-1</f>
        <v>0.1468074736</v>
      </c>
      <c r="G5" s="1"/>
      <c r="H5" s="1"/>
      <c r="I5" s="1"/>
      <c r="J5" s="1"/>
      <c r="K5" s="12"/>
      <c r="L5" s="13"/>
      <c r="M5" s="13"/>
      <c r="N5" s="14"/>
      <c r="O5" s="13"/>
      <c r="P5" s="14"/>
      <c r="Q5" s="1"/>
      <c r="R5" s="1"/>
      <c r="S5" s="2"/>
      <c r="T5" s="2"/>
      <c r="U5" s="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2"/>
      <c r="L6" s="13"/>
      <c r="M6" s="13"/>
      <c r="N6" s="14"/>
      <c r="O6" s="13"/>
      <c r="P6" s="14"/>
      <c r="Q6" s="1"/>
      <c r="R6" s="1"/>
      <c r="S6" s="2"/>
      <c r="T6" s="2"/>
      <c r="U6" s="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2"/>
      <c r="L7" s="13"/>
      <c r="M7" s="13"/>
      <c r="N7" s="14"/>
      <c r="O7" s="13"/>
      <c r="P7" s="14"/>
      <c r="Q7" s="1"/>
      <c r="R7" s="1"/>
      <c r="S7" s="2"/>
      <c r="T7" s="2"/>
      <c r="U7" s="2"/>
    </row>
    <row r="8">
      <c r="A8" s="1"/>
      <c r="B8" s="4" t="s">
        <v>6</v>
      </c>
      <c r="C8" s="7" t="s">
        <v>7</v>
      </c>
      <c r="D8" s="6" t="s">
        <v>8</v>
      </c>
      <c r="E8" s="1"/>
      <c r="F8" s="1"/>
      <c r="G8" s="1"/>
      <c r="H8" s="1"/>
      <c r="I8" s="1"/>
      <c r="J8" s="1"/>
      <c r="K8" s="1"/>
      <c r="L8" s="13"/>
      <c r="M8" s="13"/>
      <c r="N8" s="14"/>
      <c r="O8" s="13"/>
      <c r="P8" s="14"/>
      <c r="Q8" s="1"/>
      <c r="R8" s="1"/>
      <c r="S8" s="2"/>
      <c r="T8" s="2"/>
      <c r="U8" s="2"/>
    </row>
    <row r="9">
      <c r="A9" s="1"/>
      <c r="B9" s="15">
        <v>0.123</v>
      </c>
      <c r="C9" s="15">
        <v>0.595</v>
      </c>
      <c r="D9" s="15">
        <v>0.21</v>
      </c>
      <c r="E9" s="1"/>
      <c r="F9" s="1"/>
      <c r="G9" s="1"/>
      <c r="H9" s="1"/>
      <c r="I9" s="1"/>
      <c r="J9" s="1"/>
      <c r="K9" s="1"/>
      <c r="L9" s="13"/>
      <c r="M9" s="13"/>
      <c r="N9" s="14"/>
      <c r="O9" s="13"/>
      <c r="P9" s="14"/>
      <c r="Q9" s="1"/>
      <c r="R9" s="1"/>
      <c r="S9" s="2"/>
      <c r="T9" s="2"/>
      <c r="U9" s="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3"/>
      <c r="M10" s="13"/>
      <c r="N10" s="14"/>
      <c r="O10" s="13"/>
      <c r="P10" s="14"/>
      <c r="Q10" s="1"/>
      <c r="R10" s="1"/>
      <c r="S10" s="2"/>
      <c r="T10" s="2"/>
      <c r="U10" s="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3"/>
      <c r="M11" s="13"/>
      <c r="N11" s="14"/>
      <c r="O11" s="13"/>
      <c r="P11" s="14"/>
      <c r="Q11" s="1"/>
      <c r="R11" s="1"/>
      <c r="S11" s="2"/>
      <c r="T11" s="2"/>
      <c r="U11" s="2"/>
    </row>
    <row r="12">
      <c r="A12" s="1"/>
      <c r="B12" s="7" t="s">
        <v>9</v>
      </c>
      <c r="C12" s="6" t="s">
        <v>10</v>
      </c>
      <c r="D12" s="6" t="s">
        <v>11</v>
      </c>
      <c r="E12" s="1"/>
      <c r="F12" s="1"/>
      <c r="G12" s="1"/>
      <c r="H12" s="1"/>
      <c r="I12" s="1"/>
      <c r="J12" s="1"/>
      <c r="K12" s="1"/>
      <c r="L12" s="13"/>
      <c r="M12" s="13"/>
      <c r="N12" s="14"/>
      <c r="O12" s="13"/>
      <c r="P12" s="14"/>
      <c r="Q12" s="1"/>
      <c r="R12" s="1"/>
      <c r="S12" s="2"/>
      <c r="T12" s="2"/>
      <c r="U12" s="2"/>
    </row>
    <row r="13">
      <c r="A13" s="1"/>
      <c r="B13" s="15">
        <v>-0.015</v>
      </c>
      <c r="C13" s="15">
        <v>0.13</v>
      </c>
      <c r="D13" s="16">
        <v>3.26</v>
      </c>
      <c r="E13" s="1"/>
      <c r="F13" s="1"/>
      <c r="G13" s="1"/>
      <c r="H13" s="1"/>
      <c r="I13" s="1"/>
      <c r="J13" s="1"/>
      <c r="K13" s="1"/>
      <c r="L13" s="13"/>
      <c r="M13" s="13"/>
      <c r="N13" s="14"/>
      <c r="O13" s="13"/>
      <c r="P13" s="14"/>
      <c r="Q13" s="1"/>
      <c r="R13" s="1"/>
      <c r="S13" s="2"/>
      <c r="T13" s="2"/>
      <c r="U13" s="2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3"/>
      <c r="M14" s="13"/>
      <c r="N14" s="14"/>
      <c r="O14" s="13"/>
      <c r="P14" s="14"/>
      <c r="Q14" s="1"/>
      <c r="R14" s="1"/>
      <c r="S14" s="2"/>
      <c r="T14" s="2"/>
      <c r="U14" s="2"/>
    </row>
    <row r="15">
      <c r="A15" s="1"/>
      <c r="B15" s="1"/>
      <c r="C15" s="1"/>
      <c r="D15" s="17">
        <v>1.0</v>
      </c>
      <c r="E15" s="17">
        <v>2.0</v>
      </c>
      <c r="F15" s="17">
        <v>3.0</v>
      </c>
      <c r="G15" s="17">
        <v>4.0</v>
      </c>
      <c r="H15" s="17">
        <v>5.0</v>
      </c>
      <c r="I15" s="1"/>
      <c r="J15" s="1"/>
      <c r="K15" s="1"/>
      <c r="L15" s="13"/>
      <c r="M15" s="13"/>
      <c r="N15" s="14"/>
      <c r="O15" s="13"/>
      <c r="P15" s="14"/>
      <c r="Q15" s="1"/>
      <c r="R15" s="1"/>
      <c r="S15" s="2"/>
      <c r="T15" s="2"/>
      <c r="U15" s="2"/>
    </row>
    <row r="16">
      <c r="A16" s="1"/>
      <c r="B16" s="18" t="s">
        <v>12</v>
      </c>
      <c r="C16" s="19" t="s">
        <v>13</v>
      </c>
      <c r="D16" s="19">
        <v>2026.0</v>
      </c>
      <c r="E16" s="19">
        <v>2027.0</v>
      </c>
      <c r="F16" s="19">
        <v>2028.0</v>
      </c>
      <c r="G16" s="19">
        <v>2029.0</v>
      </c>
      <c r="H16" s="20">
        <v>2030.0</v>
      </c>
      <c r="I16" s="1"/>
      <c r="J16" s="1"/>
      <c r="K16" s="1"/>
      <c r="L16" s="13"/>
      <c r="M16" s="13"/>
      <c r="N16" s="14"/>
      <c r="O16" s="13"/>
      <c r="P16" s="14"/>
      <c r="Q16" s="1"/>
      <c r="R16" s="1"/>
      <c r="S16" s="2"/>
      <c r="T16" s="2"/>
      <c r="U16" s="2"/>
    </row>
    <row r="17">
      <c r="A17" s="1"/>
      <c r="B17" s="21" t="s">
        <v>14</v>
      </c>
      <c r="C17" s="22">
        <v>32.791</v>
      </c>
      <c r="D17" s="23">
        <f t="shared" ref="D17:H17" si="1">C17*(1+$B$9)</f>
        <v>36.824293</v>
      </c>
      <c r="E17" s="23">
        <f t="shared" si="1"/>
        <v>41.35368104</v>
      </c>
      <c r="F17" s="23">
        <f t="shared" si="1"/>
        <v>46.44018381</v>
      </c>
      <c r="G17" s="23">
        <f t="shared" si="1"/>
        <v>52.15232642</v>
      </c>
      <c r="H17" s="24">
        <f t="shared" si="1"/>
        <v>58.56706256</v>
      </c>
      <c r="I17" s="1"/>
      <c r="J17" s="1"/>
      <c r="K17" s="1"/>
      <c r="L17" s="13"/>
      <c r="M17" s="13"/>
      <c r="N17" s="14"/>
      <c r="O17" s="13"/>
      <c r="P17" s="14"/>
      <c r="Q17" s="1"/>
      <c r="R17" s="1"/>
      <c r="S17" s="2"/>
      <c r="T17" s="2"/>
      <c r="U17" s="2"/>
    </row>
    <row r="18">
      <c r="A18" s="1"/>
      <c r="B18" s="25"/>
      <c r="C18" s="26"/>
      <c r="D18" s="26"/>
      <c r="E18" s="26"/>
      <c r="F18" s="26"/>
      <c r="G18" s="26"/>
      <c r="H18" s="27"/>
      <c r="I18" s="1"/>
      <c r="J18" s="1"/>
      <c r="K18" s="1"/>
      <c r="L18" s="13"/>
      <c r="M18" s="13"/>
      <c r="N18" s="14"/>
      <c r="O18" s="13"/>
      <c r="P18" s="14"/>
      <c r="Q18" s="1"/>
      <c r="R18" s="1"/>
      <c r="S18" s="2"/>
      <c r="T18" s="2"/>
      <c r="U18" s="2"/>
    </row>
    <row r="19">
      <c r="A19" s="1"/>
      <c r="B19" s="21" t="s">
        <v>15</v>
      </c>
      <c r="C19" s="22">
        <v>13.894</v>
      </c>
      <c r="D19" s="23">
        <f t="shared" ref="D19:H19" si="2">D17-D21</f>
        <v>15.46513733</v>
      </c>
      <c r="E19" s="23">
        <f t="shared" si="2"/>
        <v>17.21257212</v>
      </c>
      <c r="F19" s="23">
        <f t="shared" si="2"/>
        <v>19.15590381</v>
      </c>
      <c r="G19" s="23">
        <f t="shared" si="2"/>
        <v>21.31688609</v>
      </c>
      <c r="H19" s="24">
        <f t="shared" si="2"/>
        <v>23.71966034</v>
      </c>
      <c r="I19" s="1"/>
      <c r="J19" s="1"/>
      <c r="K19" s="1"/>
      <c r="L19" s="13"/>
      <c r="M19" s="13"/>
      <c r="N19" s="14"/>
      <c r="O19" s="13"/>
      <c r="P19" s="14"/>
      <c r="Q19" s="1"/>
      <c r="R19" s="1"/>
      <c r="S19" s="2"/>
      <c r="T19" s="2"/>
      <c r="U19" s="2"/>
    </row>
    <row r="20">
      <c r="A20" s="1"/>
      <c r="B20" s="25"/>
      <c r="C20" s="28"/>
      <c r="D20" s="28"/>
      <c r="E20" s="28"/>
      <c r="F20" s="28"/>
      <c r="G20" s="28"/>
      <c r="H20" s="29"/>
      <c r="I20" s="1"/>
      <c r="J20" s="1"/>
      <c r="K20" s="1"/>
      <c r="L20" s="13"/>
      <c r="M20" s="13"/>
      <c r="N20" s="14"/>
      <c r="O20" s="13"/>
      <c r="P20" s="14"/>
      <c r="Q20" s="1"/>
      <c r="R20" s="1"/>
      <c r="S20" s="2"/>
      <c r="T20" s="2"/>
      <c r="U20" s="2"/>
    </row>
    <row r="21">
      <c r="A21" s="1"/>
      <c r="B21" s="30" t="s">
        <v>16</v>
      </c>
      <c r="C21" s="23">
        <f>C17-C19</f>
        <v>18.897</v>
      </c>
      <c r="D21" s="23">
        <f t="shared" ref="D21:H21" si="3">D17*D22</f>
        <v>21.35915567</v>
      </c>
      <c r="E21" s="23">
        <f t="shared" si="3"/>
        <v>24.14110892</v>
      </c>
      <c r="F21" s="23">
        <f t="shared" si="3"/>
        <v>27.28428</v>
      </c>
      <c r="G21" s="23">
        <f t="shared" si="3"/>
        <v>30.83544033</v>
      </c>
      <c r="H21" s="24">
        <f t="shared" si="3"/>
        <v>34.84740223</v>
      </c>
      <c r="I21" s="1"/>
      <c r="J21" s="1"/>
      <c r="K21" s="1"/>
      <c r="L21" s="13"/>
      <c r="M21" s="13"/>
      <c r="N21" s="14"/>
      <c r="O21" s="13"/>
      <c r="P21" s="14"/>
      <c r="Q21" s="1"/>
      <c r="R21" s="1"/>
      <c r="S21" s="2"/>
      <c r="T21" s="2"/>
      <c r="U21" s="2"/>
    </row>
    <row r="22">
      <c r="A22" s="1"/>
      <c r="B22" s="21" t="s">
        <v>17</v>
      </c>
      <c r="C22" s="31">
        <f>C21/C17</f>
        <v>0.5762861761</v>
      </c>
      <c r="D22" s="31">
        <f t="shared" ref="D22:H22" si="4">$C$22+(D15/$H$15)*($C$9-$C$22)</f>
        <v>0.5800289409</v>
      </c>
      <c r="E22" s="31">
        <f t="shared" si="4"/>
        <v>0.5837717057</v>
      </c>
      <c r="F22" s="31">
        <f t="shared" si="4"/>
        <v>0.5875144704</v>
      </c>
      <c r="G22" s="31">
        <f t="shared" si="4"/>
        <v>0.5912572352</v>
      </c>
      <c r="H22" s="32">
        <f t="shared" si="4"/>
        <v>0.595</v>
      </c>
      <c r="I22" s="1"/>
      <c r="J22" s="1"/>
      <c r="K22" s="1"/>
      <c r="L22" s="13"/>
      <c r="M22" s="13"/>
      <c r="N22" s="14"/>
      <c r="O22" s="13"/>
      <c r="P22" s="14"/>
      <c r="Q22" s="1"/>
      <c r="R22" s="1"/>
      <c r="S22" s="2"/>
      <c r="T22" s="2"/>
      <c r="U22" s="2"/>
    </row>
    <row r="23">
      <c r="A23" s="1"/>
      <c r="B23" s="25"/>
      <c r="C23" s="26"/>
      <c r="D23" s="26"/>
      <c r="E23" s="26"/>
      <c r="F23" s="26"/>
      <c r="G23" s="26"/>
      <c r="H23" s="27"/>
      <c r="I23" s="1"/>
      <c r="J23" s="1"/>
      <c r="K23" s="1"/>
      <c r="L23" s="33"/>
      <c r="M23" s="33"/>
      <c r="N23" s="14"/>
      <c r="O23" s="33"/>
      <c r="P23" s="14"/>
      <c r="Q23" s="1"/>
      <c r="R23" s="1"/>
      <c r="S23" s="2"/>
      <c r="T23" s="2"/>
      <c r="U23" s="2"/>
    </row>
    <row r="24">
      <c r="A24" s="1"/>
      <c r="B24" s="21" t="s">
        <v>18</v>
      </c>
      <c r="C24" s="22">
        <v>-0.319</v>
      </c>
      <c r="D24" s="22">
        <v>0.0</v>
      </c>
      <c r="E24" s="22">
        <v>0.0</v>
      </c>
      <c r="F24" s="22">
        <v>0.0</v>
      </c>
      <c r="G24" s="22">
        <v>0.0</v>
      </c>
      <c r="H24" s="34">
        <v>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2"/>
      <c r="U24" s="2"/>
    </row>
    <row r="25">
      <c r="A25" s="1"/>
      <c r="B25" s="21" t="s">
        <v>19</v>
      </c>
      <c r="C25" s="22">
        <v>3.61</v>
      </c>
      <c r="D25" s="23">
        <f t="shared" ref="D25:H25" si="5">D21*$D$9</f>
        <v>4.48542269</v>
      </c>
      <c r="E25" s="23">
        <f t="shared" si="5"/>
        <v>5.069632872</v>
      </c>
      <c r="F25" s="23">
        <f t="shared" si="5"/>
        <v>5.729698799</v>
      </c>
      <c r="G25" s="23">
        <f t="shared" si="5"/>
        <v>6.475442469</v>
      </c>
      <c r="H25" s="24">
        <f t="shared" si="5"/>
        <v>7.317954467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2"/>
      <c r="T25" s="2"/>
      <c r="U25" s="2"/>
    </row>
    <row r="26">
      <c r="A26" s="1"/>
      <c r="B26" s="35" t="s">
        <v>20</v>
      </c>
      <c r="C26" s="36">
        <f t="shared" ref="C26:H26" si="6">C21-C25+C24</f>
        <v>14.968</v>
      </c>
      <c r="D26" s="36">
        <f t="shared" si="6"/>
        <v>16.87373298</v>
      </c>
      <c r="E26" s="36">
        <f t="shared" si="6"/>
        <v>19.07147604</v>
      </c>
      <c r="F26" s="36">
        <f t="shared" si="6"/>
        <v>21.5545812</v>
      </c>
      <c r="G26" s="36">
        <f t="shared" si="6"/>
        <v>24.35999786</v>
      </c>
      <c r="H26" s="36">
        <f t="shared" si="6"/>
        <v>27.52944776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2"/>
      <c r="T26" s="2"/>
      <c r="U26" s="2"/>
    </row>
    <row r="27">
      <c r="A27" s="1"/>
      <c r="B27" s="12"/>
      <c r="C27" s="33"/>
      <c r="D27" s="33"/>
      <c r="E27" s="33"/>
      <c r="F27" s="33"/>
      <c r="G27" s="33"/>
      <c r="H27" s="33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2"/>
      <c r="U27" s="2"/>
    </row>
    <row r="28">
      <c r="A28" s="1"/>
      <c r="B28" s="37" t="s">
        <v>21</v>
      </c>
      <c r="C28" s="38">
        <v>0.906</v>
      </c>
      <c r="D28" s="39">
        <f t="shared" ref="D28:H28" si="7">C28*(1+$B$13)</f>
        <v>0.89241</v>
      </c>
      <c r="E28" s="39">
        <f t="shared" si="7"/>
        <v>0.87902385</v>
      </c>
      <c r="F28" s="39">
        <f t="shared" si="7"/>
        <v>0.8658384923</v>
      </c>
      <c r="G28" s="39">
        <f t="shared" si="7"/>
        <v>0.8528509149</v>
      </c>
      <c r="H28" s="40">
        <f t="shared" si="7"/>
        <v>0.8400581511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2"/>
      <c r="T28" s="2"/>
      <c r="U28" s="2"/>
    </row>
    <row r="29">
      <c r="A29" s="1"/>
      <c r="B29" s="12"/>
      <c r="C29" s="14"/>
      <c r="D29" s="41"/>
      <c r="E29" s="41"/>
      <c r="F29" s="41"/>
      <c r="G29" s="41"/>
      <c r="H29" s="41"/>
      <c r="I29" s="1"/>
      <c r="J29" s="1"/>
      <c r="K29" s="1"/>
      <c r="L29" s="1"/>
      <c r="M29" s="1"/>
      <c r="N29" s="1"/>
      <c r="O29" s="1"/>
      <c r="P29" s="1"/>
      <c r="Q29" s="1"/>
      <c r="R29" s="1"/>
      <c r="S29" s="2"/>
      <c r="T29" s="2"/>
      <c r="U29" s="2"/>
    </row>
    <row r="30">
      <c r="A30" s="1"/>
      <c r="B30" s="35" t="s">
        <v>22</v>
      </c>
      <c r="C30" s="36">
        <f t="shared" ref="C30:H30" si="8">C26/C28</f>
        <v>16.5209713</v>
      </c>
      <c r="D30" s="36">
        <f t="shared" si="8"/>
        <v>18.90805009</v>
      </c>
      <c r="E30" s="36">
        <f t="shared" si="8"/>
        <v>21.69619862</v>
      </c>
      <c r="F30" s="36">
        <f t="shared" si="8"/>
        <v>24.89445941</v>
      </c>
      <c r="G30" s="36">
        <f t="shared" si="8"/>
        <v>28.56302014</v>
      </c>
      <c r="H30" s="42">
        <f t="shared" si="8"/>
        <v>32.77088345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2"/>
      <c r="T30" s="2"/>
      <c r="U30" s="2"/>
    </row>
    <row r="31">
      <c r="A31" s="1"/>
      <c r="B31" s="1"/>
      <c r="C31" s="13"/>
      <c r="D31" s="33"/>
      <c r="E31" s="33"/>
      <c r="F31" s="33"/>
      <c r="G31" s="33"/>
      <c r="H31" s="33"/>
      <c r="I31" s="1"/>
      <c r="J31" s="1"/>
      <c r="K31" s="1"/>
      <c r="L31" s="1"/>
      <c r="M31" s="1"/>
      <c r="N31" s="1"/>
      <c r="O31" s="1"/>
      <c r="P31" s="1"/>
      <c r="Q31" s="1"/>
      <c r="R31" s="1"/>
      <c r="S31" s="2"/>
      <c r="T31" s="2"/>
      <c r="U31" s="2"/>
    </row>
    <row r="32">
      <c r="A32" s="1"/>
      <c r="B32" s="43" t="s">
        <v>23</v>
      </c>
      <c r="C32" s="44">
        <f>C5</f>
        <v>494.41</v>
      </c>
      <c r="D32" s="44">
        <f t="shared" ref="D32:G32" si="9">C32*(1+(($H$32/$C$5)^(1/$H$15)-1))</f>
        <v>567.2724312</v>
      </c>
      <c r="E32" s="44">
        <f t="shared" si="9"/>
        <v>650.87278</v>
      </c>
      <c r="F32" s="44">
        <f t="shared" si="9"/>
        <v>746.7935201</v>
      </c>
      <c r="G32" s="44">
        <f t="shared" si="9"/>
        <v>856.8503383</v>
      </c>
      <c r="H32" s="45">
        <f>D5*H30</f>
        <v>983.1265034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2"/>
      <c r="T32" s="2"/>
      <c r="U32" s="2"/>
    </row>
    <row r="33">
      <c r="A33" s="1"/>
      <c r="B33" s="46" t="s">
        <v>24</v>
      </c>
      <c r="C33" s="47">
        <v>1.0</v>
      </c>
      <c r="D33" s="47">
        <f>1+($D$13/$C$32)*((1+$C$13)/(1+($H$32/$C$5)^(1/$H$15)-1))^(D15-1)</f>
        <v>1.006593718</v>
      </c>
      <c r="E33" s="47">
        <f t="shared" ref="E33:H33" si="10">(1+($D$13/$C$32)*((1+$C$13)/(1+($H$32/$C$5)^(1/$H$15)-1))^(E15-1))*D33</f>
        <v>1.013130418</v>
      </c>
      <c r="F33" s="47">
        <f t="shared" si="10"/>
        <v>1.019609952</v>
      </c>
      <c r="G33" s="47">
        <f t="shared" si="10"/>
        <v>1.02603219</v>
      </c>
      <c r="H33" s="48">
        <f t="shared" si="10"/>
        <v>1.032397029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2"/>
      <c r="T33" s="2"/>
      <c r="U33" s="2"/>
    </row>
    <row r="34">
      <c r="A34" s="1"/>
      <c r="B34" s="1"/>
      <c r="C34" s="49"/>
      <c r="D34" s="49"/>
      <c r="E34" s="49"/>
      <c r="F34" s="49"/>
      <c r="G34" s="49"/>
      <c r="H34" s="49"/>
      <c r="I34" s="1"/>
      <c r="J34" s="1"/>
      <c r="K34" s="1"/>
      <c r="L34" s="1"/>
      <c r="M34" s="1"/>
      <c r="N34" s="1"/>
      <c r="O34" s="1"/>
      <c r="P34" s="1"/>
      <c r="Q34" s="1"/>
      <c r="R34" s="1"/>
      <c r="S34" s="2"/>
      <c r="T34" s="2"/>
      <c r="U34" s="2"/>
    </row>
    <row r="35">
      <c r="A35" s="1"/>
      <c r="B35" s="37" t="s">
        <v>25</v>
      </c>
      <c r="C35" s="50">
        <f>($H$32/$C$5)^(1/$H$15)-1</f>
        <v>0.1473724867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"/>
      <c r="T35" s="2"/>
      <c r="U35" s="2"/>
    </row>
    <row r="36">
      <c r="A36" s="1"/>
      <c r="B36" s="37" t="s">
        <v>26</v>
      </c>
      <c r="C36" s="50">
        <f>((H33*H32)/C32)^(1/H15)-1</f>
        <v>0.1547122703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"/>
      <c r="T36" s="2"/>
      <c r="U36" s="2"/>
    </row>
    <row r="37">
      <c r="A37" s="1"/>
      <c r="B37" s="1"/>
      <c r="C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"/>
      <c r="T37" s="2"/>
      <c r="U37" s="2"/>
    </row>
    <row r="38">
      <c r="A38" s="1"/>
      <c r="B38" s="51" t="s">
        <v>27</v>
      </c>
      <c r="C38" s="52">
        <f>E32</f>
        <v>650.87278</v>
      </c>
      <c r="D38" s="1"/>
      <c r="E38" s="1"/>
      <c r="F38" s="1"/>
      <c r="G38" s="1"/>
      <c r="H38" s="1"/>
      <c r="I38" s="14"/>
      <c r="J38" s="1"/>
      <c r="K38" s="1"/>
      <c r="L38" s="1"/>
      <c r="M38" s="1"/>
      <c r="N38" s="1"/>
      <c r="O38" s="1"/>
      <c r="P38" s="1"/>
      <c r="Q38" s="1"/>
      <c r="R38" s="1"/>
      <c r="S38" s="2"/>
      <c r="T38" s="2"/>
      <c r="U38" s="2"/>
    </row>
    <row r="39">
      <c r="A39" s="1"/>
      <c r="B39" s="53" t="s">
        <v>28</v>
      </c>
      <c r="C39" s="54">
        <f>C36</f>
        <v>0.1547122703</v>
      </c>
      <c r="D39" s="14"/>
      <c r="E39" s="1"/>
      <c r="F39" s="14"/>
      <c r="G39" s="1"/>
      <c r="H39" s="12"/>
      <c r="I39" s="14"/>
      <c r="J39" s="1"/>
      <c r="K39" s="1"/>
      <c r="L39" s="12"/>
      <c r="M39" s="12"/>
      <c r="N39" s="1"/>
      <c r="O39" s="1"/>
      <c r="P39" s="1"/>
      <c r="Q39" s="1"/>
      <c r="R39" s="1"/>
      <c r="S39" s="2"/>
      <c r="T39" s="2"/>
      <c r="U39" s="2"/>
    </row>
    <row r="40">
      <c r="A40" s="1"/>
      <c r="B40" s="14"/>
      <c r="C40" s="13"/>
      <c r="D40" s="14"/>
      <c r="E40" s="1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"/>
      <c r="T40" s="2"/>
      <c r="U40" s="2"/>
    </row>
    <row r="41">
      <c r="A41" s="1"/>
      <c r="B41" s="14"/>
      <c r="C41" s="13"/>
      <c r="D41" s="1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2"/>
      <c r="T41" s="2"/>
      <c r="U41" s="2"/>
    </row>
    <row r="42">
      <c r="A42" s="1"/>
      <c r="B42" s="55" t="s">
        <v>29</v>
      </c>
      <c r="C42" s="13"/>
      <c r="D42" s="1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"/>
      <c r="T42" s="2"/>
      <c r="U42" s="2"/>
    </row>
    <row r="43">
      <c r="A43" s="1"/>
      <c r="B43" s="56" t="s">
        <v>30</v>
      </c>
      <c r="C43" s="57" t="s">
        <v>31</v>
      </c>
      <c r="D43" s="58" t="s">
        <v>32</v>
      </c>
      <c r="E43" s="1"/>
      <c r="F43" s="1"/>
      <c r="G43" s="1"/>
      <c r="H43" s="1"/>
      <c r="I43" s="14"/>
      <c r="J43" s="1"/>
      <c r="K43" s="1"/>
      <c r="L43" s="1"/>
      <c r="M43" s="1"/>
      <c r="N43" s="1"/>
      <c r="O43" s="1"/>
      <c r="P43" s="1"/>
      <c r="Q43" s="1"/>
      <c r="R43" s="1"/>
      <c r="S43" s="2"/>
      <c r="T43" s="2"/>
      <c r="U43" s="2"/>
    </row>
    <row r="44">
      <c r="A44" s="1"/>
      <c r="B44" s="59">
        <v>20.0</v>
      </c>
      <c r="C44" s="23">
        <f t="shared" ref="C44:C52" si="11">B44*$H$30</f>
        <v>655.4176689</v>
      </c>
      <c r="D44" s="32">
        <f t="shared" ref="D44:D52" si="12">((1+$D$13/$C$5)*(1+$D$13/$C$5*((1+$C$13)/(C44/$C$5)^(1/5)))*(1+$D$13/$C$5*((1+$C$13)/(C44/$C$5)^(1/5))^2)*(1+$D$13/$C$5*((1+$C$13)/(C44/$C$5)^(1/5))^3)*(1+$D$13/$C$5*((1+$C$13)/(C44/$C$5)^(1/5))^4)*C44/$C$5)^(1/5)-1</f>
        <v>0.06599347089</v>
      </c>
      <c r="E44" s="1"/>
      <c r="F44" s="14"/>
      <c r="G44" s="1"/>
      <c r="H44" s="1"/>
      <c r="I44" s="14"/>
      <c r="J44" s="1"/>
      <c r="K44" s="1"/>
      <c r="L44" s="1"/>
      <c r="M44" s="1"/>
      <c r="N44" s="1"/>
      <c r="O44" s="1"/>
      <c r="P44" s="1"/>
      <c r="Q44" s="1"/>
      <c r="R44" s="1"/>
      <c r="S44" s="2"/>
      <c r="T44" s="2"/>
      <c r="U44" s="2"/>
    </row>
    <row r="45">
      <c r="A45" s="1"/>
      <c r="B45" s="59">
        <v>22.0</v>
      </c>
      <c r="C45" s="23">
        <f t="shared" si="11"/>
        <v>720.9594358</v>
      </c>
      <c r="D45" s="32">
        <f t="shared" si="12"/>
        <v>0.08618700927</v>
      </c>
      <c r="E45" s="1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"/>
      <c r="T45" s="2"/>
      <c r="U45" s="2"/>
    </row>
    <row r="46">
      <c r="A46" s="1"/>
      <c r="B46" s="59">
        <v>25.0</v>
      </c>
      <c r="C46" s="23">
        <f t="shared" si="11"/>
        <v>819.2720861</v>
      </c>
      <c r="D46" s="32">
        <f t="shared" si="12"/>
        <v>0.1139019538</v>
      </c>
      <c r="E46" s="1"/>
      <c r="F46" s="12"/>
      <c r="G46" s="1"/>
      <c r="H46" s="1"/>
      <c r="I46" s="14"/>
      <c r="J46" s="1"/>
      <c r="K46" s="1"/>
      <c r="L46" s="1"/>
      <c r="M46" s="1"/>
      <c r="N46" s="1"/>
      <c r="O46" s="1"/>
      <c r="P46" s="1"/>
      <c r="Q46" s="1"/>
      <c r="R46" s="1"/>
      <c r="S46" s="2"/>
      <c r="T46" s="2"/>
      <c r="U46" s="2"/>
    </row>
    <row r="47">
      <c r="A47" s="1"/>
      <c r="B47" s="60">
        <v>27.0</v>
      </c>
      <c r="C47" s="61">
        <f t="shared" si="11"/>
        <v>884.813853</v>
      </c>
      <c r="D47" s="62">
        <f t="shared" si="12"/>
        <v>0.1309424989</v>
      </c>
      <c r="E47" s="1"/>
      <c r="F47" s="1"/>
      <c r="G47" s="12"/>
      <c r="H47" s="1"/>
      <c r="I47" s="63"/>
      <c r="J47" s="1"/>
      <c r="K47" s="1"/>
      <c r="L47" s="1"/>
      <c r="M47" s="1"/>
      <c r="N47" s="1"/>
      <c r="O47" s="1"/>
      <c r="P47" s="1"/>
      <c r="Q47" s="1"/>
      <c r="R47" s="1"/>
      <c r="S47" s="2"/>
      <c r="T47" s="2"/>
      <c r="U47" s="2"/>
    </row>
    <row r="48">
      <c r="A48" s="1"/>
      <c r="B48" s="60">
        <v>30.0</v>
      </c>
      <c r="C48" s="61">
        <f t="shared" si="11"/>
        <v>983.1265034</v>
      </c>
      <c r="D48" s="62">
        <f t="shared" si="12"/>
        <v>0.1547122703</v>
      </c>
      <c r="E48" s="1"/>
      <c r="F48" s="1"/>
      <c r="G48" s="1"/>
      <c r="H48" s="1"/>
      <c r="I48" s="63"/>
      <c r="J48" s="1"/>
      <c r="K48" s="1"/>
      <c r="L48" s="1"/>
      <c r="M48" s="1"/>
      <c r="N48" s="1"/>
      <c r="O48" s="1"/>
      <c r="P48" s="1"/>
      <c r="Q48" s="1"/>
      <c r="R48" s="1"/>
      <c r="S48" s="2"/>
      <c r="T48" s="2"/>
      <c r="U48" s="2"/>
    </row>
    <row r="49">
      <c r="A49" s="1"/>
      <c r="B49" s="60">
        <v>33.0</v>
      </c>
      <c r="C49" s="61">
        <f t="shared" si="11"/>
        <v>1081.439154</v>
      </c>
      <c r="D49" s="62">
        <f t="shared" si="12"/>
        <v>0.176661491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2"/>
      <c r="T49" s="2"/>
      <c r="U49" s="2"/>
    </row>
    <row r="50">
      <c r="A50" s="1"/>
      <c r="B50" s="59">
        <v>35.0</v>
      </c>
      <c r="C50" s="23">
        <f t="shared" si="11"/>
        <v>1146.980921</v>
      </c>
      <c r="D50" s="32">
        <f t="shared" si="12"/>
        <v>0.1904274063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"/>
      <c r="T50" s="2"/>
      <c r="U50" s="2"/>
    </row>
    <row r="51">
      <c r="A51" s="1"/>
      <c r="B51" s="59">
        <v>37.0</v>
      </c>
      <c r="C51" s="23">
        <f t="shared" si="11"/>
        <v>1212.522687</v>
      </c>
      <c r="D51" s="32">
        <f t="shared" si="12"/>
        <v>0.2035811236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"/>
      <c r="T51" s="2"/>
      <c r="U51" s="2"/>
    </row>
    <row r="52">
      <c r="A52" s="1"/>
      <c r="B52" s="64">
        <v>40.0</v>
      </c>
      <c r="C52" s="65">
        <f t="shared" si="11"/>
        <v>1310.835338</v>
      </c>
      <c r="D52" s="66">
        <f t="shared" si="12"/>
        <v>0.222288643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"/>
      <c r="T52" s="2"/>
      <c r="U52" s="2"/>
    </row>
    <row r="53">
      <c r="A53" s="1"/>
      <c r="B53" s="67"/>
      <c r="C53" s="33"/>
      <c r="D53" s="1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</row>
    <row r="54">
      <c r="A54" s="1"/>
      <c r="B54" s="68" t="s">
        <v>33</v>
      </c>
      <c r="C54" s="1"/>
      <c r="D54" s="1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"/>
      <c r="T54" s="2"/>
      <c r="U54" s="2"/>
    </row>
    <row r="55">
      <c r="A55" s="1"/>
      <c r="B55" s="68" t="s">
        <v>34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2"/>
      <c r="T55" s="2"/>
      <c r="U55" s="2"/>
    </row>
    <row r="56">
      <c r="A56" s="1"/>
      <c r="B56" s="69" t="s">
        <v>35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"/>
      <c r="T56" s="2"/>
      <c r="U56" s="2"/>
    </row>
    <row r="57">
      <c r="A57" s="1"/>
      <c r="B57" s="1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"/>
      <c r="T57" s="2"/>
      <c r="U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</sheetData>
  <drawing r:id="rId1"/>
</worksheet>
</file>